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비교표" sheetId="1" state="visible" r:id="rId1"/>
    <sheet name="건별 개요" sheetId="2" state="visible" r:id="rId2"/>
    <sheet name="전제·팩트체크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-#,##0.0;&quot;-&quot;"/>
    <numFmt numFmtId="165" formatCode="0.0%;[Red]-0.0%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</font>
    <font>
      <b val="1"/>
    </font>
    <font>
      <color rgb="000000FF"/>
    </font>
    <font>
      <color rgb="00C00000"/>
    </font>
    <font>
      <b val="1"/>
      <color rgb="00FFFFFF"/>
    </font>
    <font/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4" fillId="0" borderId="1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4" fillId="3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164" fontId="7" fillId="0" borderId="1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60" customWidth="1" min="7" max="7"/>
  </cols>
  <sheetData>
    <row r="1">
      <c r="A1" s="1" t="inlineStr">
        <is>
          <t>Scrambly 실사 자문 보수 비교 (EY 제안 vs Deloitte 과거 수행 건)</t>
        </is>
      </c>
    </row>
    <row r="2">
      <c r="A2" s="2" t="inlineStr">
        <is>
          <t>단위: 백만원, VAT 제외 (별도 표기 제외). 파란색 = 입력값(환율 변경 시 자동 재계산)</t>
        </is>
      </c>
    </row>
    <row r="4">
      <c r="A4" s="3" t="inlineStr">
        <is>
          <t>환율 가정 (KRW)</t>
        </is>
      </c>
    </row>
    <row r="5">
      <c r="A5" t="inlineStr">
        <is>
          <t>USD/KRW</t>
        </is>
      </c>
      <c r="B5" s="4" t="n">
        <v>1450</v>
      </c>
      <c r="C5" s="5" t="inlineStr">
        <is>
          <t>※ 가정치. 실제 청구서 환율로 수정 필요</t>
        </is>
      </c>
    </row>
    <row r="6">
      <c r="A6" t="inlineStr">
        <is>
          <t>EUR/KRW</t>
        </is>
      </c>
      <c r="B6" s="4" t="n">
        <v>1650</v>
      </c>
    </row>
    <row r="8" ht="32" customHeight="1">
      <c r="A8" s="6" t="inlineStr">
        <is>
          <t>항목</t>
        </is>
      </c>
      <c r="B8" s="6" t="inlineStr">
        <is>
          <t>EY Scrambly
(제안)</t>
        </is>
      </c>
      <c r="C8" s="6" t="inlineStr">
        <is>
          <t>JustPlay
(제안)</t>
        </is>
      </c>
      <c r="D8" s="6" t="inlineStr">
        <is>
          <t>JustPlay
(실제)</t>
        </is>
      </c>
      <c r="E8" s="6" t="inlineStr">
        <is>
          <t>Lihuhu
(제안)</t>
        </is>
      </c>
      <c r="F8" s="6" t="inlineStr">
        <is>
          <t>Lihuhu
(실제)</t>
        </is>
      </c>
      <c r="G8" s="6" t="inlineStr">
        <is>
          <t>비고</t>
        </is>
      </c>
    </row>
    <row r="9">
      <c r="A9" s="7" t="inlineStr">
        <is>
          <t>FDD</t>
        </is>
      </c>
      <c r="B9" s="8" t="n">
        <v>140</v>
      </c>
      <c r="C9" s="9" t="n">
        <v>180</v>
      </c>
      <c r="D9" s="9" t="n">
        <v>162</v>
      </c>
      <c r="E9" s="9" t="n">
        <v>216</v>
      </c>
      <c r="F9" s="10" t="inlineStr">
        <is>
          <t>내역 없음</t>
        </is>
      </c>
      <c r="G9" s="7" t="inlineStr">
        <is>
          <t>Lihuhu 제안 216은 가치평가 포함 / JustPlay 실제는 제안 대비 정확히 -10%</t>
        </is>
      </c>
    </row>
    <row r="10">
      <c r="A10" s="7" t="inlineStr">
        <is>
          <t>TDD</t>
        </is>
      </c>
      <c r="B10" s="8" t="n">
        <v>90</v>
      </c>
      <c r="C10" s="10">
        <f>118000*$B$6/1000000</f>
        <v/>
      </c>
      <c r="D10" s="9" t="n">
        <v>191</v>
      </c>
      <c r="E10" s="10">
        <f>46000*$B$5/1000000</f>
        <v/>
      </c>
      <c r="F10" s="10" t="inlineStr">
        <is>
          <t>내역 없음</t>
        </is>
      </c>
      <c r="G10" s="7" t="inlineStr">
        <is>
          <t>JustPlay: EUR 118k(독일 2+키프로스 1) / Lihuhu: USD 46k(베트남 1)</t>
        </is>
      </c>
    </row>
    <row r="11">
      <c r="A11" s="7" t="inlineStr">
        <is>
          <t>인수구조 검토 (Optional)</t>
        </is>
      </c>
      <c r="B11" s="11" t="inlineStr">
        <is>
          <t>Hourly
(EUR 504/h, Cap 없음)</t>
        </is>
      </c>
      <c r="C11" s="10">
        <f>20000*$B$6/1000000</f>
        <v/>
      </c>
      <c r="D11" s="10" t="inlineStr">
        <is>
          <t>-</t>
        </is>
      </c>
      <c r="E11" s="10">
        <f>50000*$B$5/1000000</f>
        <v/>
      </c>
      <c r="F11" s="10" t="inlineStr">
        <is>
          <t>내역 없음</t>
        </is>
      </c>
      <c r="G11" s="7" t="inlineStr">
        <is>
          <t>Optional - 확정분 합계에서 제외. JustPlay TDD 191에 포함 여부 불명확</t>
        </is>
      </c>
    </row>
    <row r="12">
      <c r="A12" s="7" t="inlineStr">
        <is>
          <t>SPA/SHA 자문</t>
        </is>
      </c>
      <c r="B12" s="11" t="inlineStr">
        <is>
          <t>Hourly
(FDD Cap 5)</t>
        </is>
      </c>
      <c r="C12" s="10" t="inlineStr">
        <is>
          <t>Hourly</t>
        </is>
      </c>
      <c r="D12" s="9" t="n">
        <v>71</v>
      </c>
      <c r="E12" s="10" t="inlineStr">
        <is>
          <t>Hourly</t>
        </is>
      </c>
      <c r="F12" s="10" t="inlineStr">
        <is>
          <t>내역 없음</t>
        </is>
      </c>
      <c r="G12" s="7" t="inlineStr">
        <is>
          <t>JustPlay 실제 71 발생</t>
        </is>
      </c>
    </row>
    <row r="13">
      <c r="A13" s="7" t="inlineStr">
        <is>
          <t>ITDD</t>
        </is>
      </c>
      <c r="B13" s="11" t="inlineStr">
        <is>
          <t>범위 외</t>
        </is>
      </c>
      <c r="C13" s="10" t="inlineStr">
        <is>
          <t>범위 외</t>
        </is>
      </c>
      <c r="D13" s="9" t="n">
        <v>56</v>
      </c>
      <c r="E13" s="10" t="inlineStr">
        <is>
          <t>범위 외</t>
        </is>
      </c>
      <c r="F13" s="10" t="inlineStr">
        <is>
          <t>내역 없음</t>
        </is>
      </c>
      <c r="G13" s="7" t="inlineStr">
        <is>
          <t>JustPlay 실제에서 별도 발생</t>
        </is>
      </c>
    </row>
    <row r="14">
      <c r="A14" s="7" t="inlineStr">
        <is>
          <t>기타 실비</t>
        </is>
      </c>
      <c r="B14" s="11" t="inlineStr">
        <is>
          <t>별도</t>
        </is>
      </c>
      <c r="C14" s="10" t="inlineStr">
        <is>
          <t>별도</t>
        </is>
      </c>
      <c r="D14" s="9" t="n">
        <v>6</v>
      </c>
      <c r="E14" s="10" t="inlineStr">
        <is>
          <t>별도</t>
        </is>
      </c>
      <c r="F14" s="10" t="inlineStr">
        <is>
          <t>내역 없음</t>
        </is>
      </c>
      <c r="G14" s="7" t="inlineStr">
        <is>
          <t>식대, 교통비 등</t>
        </is>
      </c>
    </row>
    <row r="15">
      <c r="A15" s="12" t="inlineStr">
        <is>
          <t>합계 (확정분, VAT 제외)</t>
        </is>
      </c>
      <c r="B15" s="13">
        <f>B9+B10</f>
        <v/>
      </c>
      <c r="C15" s="13">
        <f>C9+C10</f>
        <v/>
      </c>
      <c r="D15" s="13">
        <f>SUM(D9:D14)</f>
        <v/>
      </c>
      <c r="E15" s="13">
        <f>E9+E10</f>
        <v/>
      </c>
      <c r="F15" s="13">
        <f>466094420/1.1/1000000</f>
        <v/>
      </c>
      <c r="G15" s="12" t="inlineStr">
        <is>
          <t>제안: FDD+TDD 고정보수 / 실제: 결의서 기준</t>
        </is>
      </c>
    </row>
    <row r="16">
      <c r="A16" s="14" t="inlineStr">
        <is>
          <t>합계 (Optional·Cap 포함, VAT 제외)</t>
        </is>
      </c>
      <c r="B16" s="15">
        <f>B15+5</f>
        <v/>
      </c>
      <c r="C16" s="15">
        <f>C15+C11</f>
        <v/>
      </c>
      <c r="D16" s="15">
        <f>D15</f>
        <v/>
      </c>
      <c r="E16" s="15">
        <f>E15+E11</f>
        <v/>
      </c>
      <c r="F16" s="15">
        <f>F15</f>
        <v/>
      </c>
      <c r="G16" s="14" t="inlineStr">
        <is>
          <t>EY: SPA Cap 5 가산(세무 Hourly 제외) / Deloitte: 인수구조 검토 가산</t>
        </is>
      </c>
    </row>
    <row r="17">
      <c r="A17" s="14" t="inlineStr">
        <is>
          <t>합계 (VAT 포함)</t>
        </is>
      </c>
      <c r="B17" s="15">
        <f>B15*1.1</f>
        <v/>
      </c>
      <c r="C17" s="15">
        <f>C15*1.1</f>
        <v/>
      </c>
      <c r="D17" s="15">
        <f>D15*1.1</f>
        <v/>
      </c>
      <c r="E17" s="15">
        <f>E15*1.1</f>
        <v/>
      </c>
      <c r="F17" s="15">
        <f>466094420/1000000</f>
        <v/>
      </c>
      <c r="G17" s="14" t="inlineStr">
        <is>
          <t>JustPlay 실제 535, Lihuhu 실제 466.1 (지출결의서 금액)</t>
        </is>
      </c>
    </row>
    <row r="18">
      <c r="A18" s="14" t="inlineStr">
        <is>
          <t>실제 / 제안 증감률 (확정분 기준)</t>
        </is>
      </c>
      <c r="B18" s="16" t="inlineStr"/>
      <c r="C18" s="16" t="inlineStr"/>
      <c r="D18" s="16">
        <f>D15/C15-1</f>
        <v/>
      </c>
      <c r="E18" s="16" t="inlineStr"/>
      <c r="F18" s="16">
        <f>F15/E15-1</f>
        <v/>
      </c>
      <c r="G18" s="14" t="inlineStr">
        <is>
          <t>Deloitte는 실제 지급액이 제안 대비 증가</t>
        </is>
      </c>
    </row>
    <row r="19">
      <c r="A19" s="14" t="inlineStr">
        <is>
          <t>실제 / 제안 증감률 (Optional 포함 기준)</t>
        </is>
      </c>
      <c r="B19" s="16" t="inlineStr"/>
      <c r="C19" s="16" t="inlineStr"/>
      <c r="D19" s="16">
        <f>D16/C16-1</f>
        <v/>
      </c>
      <c r="E19" s="16" t="inlineStr"/>
      <c r="F19" s="16">
        <f>F16/E16-1</f>
        <v/>
      </c>
      <c r="G19" s="14" t="inlineStr"/>
    </row>
    <row r="21">
      <c r="A21" s="17" t="inlineStr">
        <is>
          <t>동일 범위(FDD+TDD) 비교</t>
        </is>
      </c>
    </row>
    <row r="22">
      <c r="A22" s="6" t="inlineStr">
        <is>
          <t>구분</t>
        </is>
      </c>
      <c r="B22" s="6" t="inlineStr">
        <is>
          <t>EY 제안</t>
        </is>
      </c>
      <c r="C22" s="6" t="inlineStr">
        <is>
          <t>비교 대상</t>
        </is>
      </c>
      <c r="D22" s="6" t="inlineStr">
        <is>
          <t>차이</t>
        </is>
      </c>
      <c r="E22" s="6" t="inlineStr">
        <is>
          <t>차이율</t>
        </is>
      </c>
      <c r="F22" s="6" t="inlineStr"/>
      <c r="G22" s="6" t="inlineStr">
        <is>
          <t>비고</t>
        </is>
      </c>
    </row>
    <row r="23">
      <c r="A23" s="18" t="inlineStr">
        <is>
          <t>EY vs JustPlay 실제 (FDD+TDD)</t>
        </is>
      </c>
      <c r="B23" s="10">
        <f>B9+B10</f>
        <v/>
      </c>
      <c r="C23" s="10">
        <f>D9+D10</f>
        <v/>
      </c>
      <c r="D23" s="10">
        <f>B23-C23</f>
        <v/>
      </c>
      <c r="E23" s="19">
        <f>B23/C23-1</f>
        <v/>
      </c>
      <c r="F23" s="10" t="inlineStr"/>
      <c r="G23" s="18" t="inlineStr">
        <is>
          <t>JustPlay 실제 162+191</t>
        </is>
      </c>
    </row>
    <row r="24">
      <c r="A24" s="18" t="inlineStr">
        <is>
          <t>EY vs JustPlay 제안 (FDD+TDD)</t>
        </is>
      </c>
      <c r="B24" s="10">
        <f>B9+B10</f>
        <v/>
      </c>
      <c r="C24" s="10">
        <f>C9+C10</f>
        <v/>
      </c>
      <c r="D24" s="10">
        <f>B24-C24</f>
        <v/>
      </c>
      <c r="E24" s="19">
        <f>B24/C24-1</f>
        <v/>
      </c>
      <c r="F24" s="10" t="inlineStr"/>
      <c r="G24" s="18" t="inlineStr"/>
    </row>
    <row r="25">
      <c r="A25" s="18" t="inlineStr">
        <is>
          <t>FDD: EY vs JustPlay 실제</t>
        </is>
      </c>
      <c r="B25" s="10">
        <f>B9</f>
        <v/>
      </c>
      <c r="C25" s="10">
        <f>D9</f>
        <v/>
      </c>
      <c r="D25" s="10">
        <f>B25-C25</f>
        <v/>
      </c>
      <c r="E25" s="19">
        <f>B25/C25-1</f>
        <v/>
      </c>
      <c r="F25" s="10" t="inlineStr"/>
      <c r="G25" s="18" t="inlineStr"/>
    </row>
    <row r="26">
      <c r="A26" s="18" t="inlineStr">
        <is>
          <t>FDD: EY vs JustPlay 제안</t>
        </is>
      </c>
      <c r="B26" s="10">
        <f>B9</f>
        <v/>
      </c>
      <c r="C26" s="10">
        <f>C9</f>
        <v/>
      </c>
      <c r="D26" s="10">
        <f>B26-C26</f>
        <v/>
      </c>
      <c r="E26" s="19">
        <f>B26/C26-1</f>
        <v/>
      </c>
      <c r="F26" s="10" t="inlineStr"/>
      <c r="G26" s="18" t="inlineStr"/>
    </row>
    <row r="27">
      <c r="A27" s="18" t="inlineStr">
        <is>
          <t>TDD: EY vs JustPlay 실제</t>
        </is>
      </c>
      <c r="B27" s="10">
        <f>B10</f>
        <v/>
      </c>
      <c r="C27" s="10">
        <f>D10</f>
        <v/>
      </c>
      <c r="D27" s="10">
        <f>B27-C27</f>
        <v/>
      </c>
      <c r="E27" s="19">
        <f>B27/C27-1</f>
        <v/>
      </c>
      <c r="F27" s="10" t="inlineStr"/>
      <c r="G27" s="18" t="inlineStr">
        <is>
          <t>JustPlay는 2개국 3개 법인</t>
        </is>
      </c>
    </row>
    <row r="28">
      <c r="A28" s="18" t="inlineStr">
        <is>
          <t>TDD: EY vs JustPlay 실제 (법인당)</t>
        </is>
      </c>
      <c r="B28" s="10">
        <f>B10</f>
        <v/>
      </c>
      <c r="C28" s="10">
        <f>D10/3</f>
        <v/>
      </c>
      <c r="D28" s="10">
        <f>B28-C28</f>
        <v/>
      </c>
      <c r="E28" s="19">
        <f>B28/C28-1</f>
        <v/>
      </c>
      <c r="F28" s="10" t="inlineStr"/>
      <c r="G28" s="18" t="inlineStr">
        <is>
          <t>EY 대상 법인 수 미기재 → 1개 가정</t>
        </is>
      </c>
    </row>
    <row r="29">
      <c r="A29" s="18" t="inlineStr">
        <is>
          <t>TDD: EY vs Lihuhu 제안</t>
        </is>
      </c>
      <c r="B29" s="10">
        <f>B10</f>
        <v/>
      </c>
      <c r="C29" s="10">
        <f>E10</f>
        <v/>
      </c>
      <c r="D29" s="10">
        <f>B29-C29</f>
        <v/>
      </c>
      <c r="E29" s="19">
        <f>B29/C29-1</f>
        <v/>
      </c>
      <c r="F29" s="10" t="inlineStr"/>
      <c r="G29" s="18" t="inlineStr">
        <is>
          <t>Lihuhu는 베트남 1개 법인</t>
        </is>
      </c>
    </row>
    <row r="31">
      <c r="A31" s="17" t="inlineStr">
        <is>
          <t>EY 예상 최종 지급 범위 (추정)</t>
        </is>
      </c>
    </row>
    <row r="32">
      <c r="A32" s="20" t="inlineStr">
        <is>
          <t>고정보수 (FDD+TDD)</t>
        </is>
      </c>
      <c r="B32" s="9">
        <f>B15</f>
        <v/>
      </c>
    </row>
    <row r="33">
      <c r="A33" s="20" t="inlineStr">
        <is>
          <t>SPA 자문 FDD Cap</t>
        </is>
      </c>
      <c r="B33" s="9" t="n">
        <v>5</v>
      </c>
    </row>
    <row r="34">
      <c r="A34" s="20" t="inlineStr">
        <is>
          <t>세무 Hourly (EUR 504/h × 시간) - 입력</t>
        </is>
      </c>
      <c r="B34" s="9">
        <f>0*504*$B$6/1000000</f>
        <v/>
      </c>
      <c r="C34" s="5" t="inlineStr">
        <is>
          <t>← 수식의 0을 예상 투입시간으로 변경</t>
        </is>
      </c>
    </row>
    <row r="35">
      <c r="A35" s="20" t="inlineStr">
        <is>
          <t>실비 - 입력 (JustPlay 실제 6 참고)</t>
        </is>
      </c>
      <c r="B35" s="9" t="n">
        <v>6</v>
      </c>
    </row>
    <row r="36">
      <c r="A36" s="21" t="inlineStr">
        <is>
          <t>합계 (VAT 제외)</t>
        </is>
      </c>
      <c r="B36" s="22">
        <f>SUM(B32:B35)</f>
        <v/>
      </c>
    </row>
    <row r="37">
      <c r="A37" s="21" t="inlineStr">
        <is>
          <t>합계 (VAT 포함)</t>
        </is>
      </c>
      <c r="B37" s="22">
        <f>B36*1.1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55" customWidth="1" min="3" max="3"/>
    <col width="55" customWidth="1" min="4" max="4"/>
  </cols>
  <sheetData>
    <row r="1">
      <c r="A1" s="6" t="inlineStr">
        <is>
          <t>구분</t>
        </is>
      </c>
      <c r="B1" s="6" t="inlineStr">
        <is>
          <t>EY Scrambly</t>
        </is>
      </c>
      <c r="C1" s="6" t="inlineStr">
        <is>
          <t>Deloitte JustPlay</t>
        </is>
      </c>
      <c r="D1" s="6" t="inlineStr">
        <is>
          <t>Deloitte Lihuhu (Indygo)</t>
        </is>
      </c>
    </row>
    <row r="2">
      <c r="A2" s="12" t="inlineStr">
        <is>
          <t>제안서</t>
        </is>
      </c>
      <c r="B2" s="7" t="inlineStr">
        <is>
          <t>EY 261004 (2026-10-04)</t>
        </is>
      </c>
      <c r="C2" s="7" t="inlineStr">
        <is>
          <t>Deloitte 260130 (2026-01-30)</t>
        </is>
      </c>
      <c r="D2" s="7" t="inlineStr">
        <is>
          <t>Deloitte 251125 (2025-11-25)</t>
        </is>
      </c>
    </row>
    <row r="3">
      <c r="A3" s="12" t="inlineStr">
        <is>
          <t>대상</t>
        </is>
      </c>
      <c r="B3" s="7" t="inlineStr">
        <is>
          <t>이탈리아 보상형 UA 플랫폼</t>
        </is>
      </c>
      <c r="C3" s="7" t="inlineStr">
        <is>
          <t>독일 게임사 (독일 2개 + 키프로스 1개 법인)</t>
        </is>
      </c>
      <c r="D3" s="7" t="inlineStr">
        <is>
          <t>베트남 게임사 (Operating 1개 법인)</t>
        </is>
      </c>
    </row>
    <row r="4">
      <c r="A4" s="12" t="inlineStr">
        <is>
          <t>제안 범위</t>
        </is>
      </c>
      <c r="B4" s="7" t="inlineStr">
        <is>
          <t>FDD, TDD, SPA 자문(Hourly), 세무자문(Hourly)</t>
        </is>
      </c>
      <c r="C4" s="7" t="inlineStr">
        <is>
          <t>FDD, TDD, 인수구조 검토(Opt), SPA/SHA(Hourly)</t>
        </is>
      </c>
      <c r="D4" s="7" t="inlineStr">
        <is>
          <t>FDD+가치평가, TDD, 인수구조 검토(Opt), SPA/SHA(Hourly)</t>
        </is>
      </c>
    </row>
    <row r="5">
      <c r="A5" s="12" t="inlineStr">
        <is>
          <t>투입 인력/기간</t>
        </is>
      </c>
      <c r="B5" s="7" t="inlineStr">
        <is>
          <t>한국 파트너·이사 외 FT 2명 + EY Italy Senior 1명, 4주</t>
        </is>
      </c>
      <c r="C5" s="7" t="inlineStr">
        <is>
          <t>FT 5명 + PT 2명, 4~5주</t>
        </is>
      </c>
      <c r="D5" s="7" t="inlineStr">
        <is>
          <t>FT 5명 + PT 2명, 4~5주</t>
        </is>
      </c>
    </row>
    <row r="6">
      <c r="A6" s="12" t="inlineStr">
        <is>
          <t>제안 보수 (VAT 제외)</t>
        </is>
      </c>
      <c r="B6" s="7" t="inlineStr">
        <is>
          <t>FDD 140 / TDD 90 (백만원)</t>
        </is>
      </c>
      <c r="C6" s="7" t="inlineStr">
        <is>
          <t>FDD 180백만원 + TDD EUR 118k (+구조 EUR 20k Opt)</t>
        </is>
      </c>
      <c r="D6" s="7" t="inlineStr">
        <is>
          <t>FDD·가치평가 216백만원 + TDD USD 46k (+구조 USD 50k Opt)</t>
        </is>
      </c>
    </row>
    <row r="7">
      <c r="A7" s="12" t="inlineStr">
        <is>
          <t>Hourly Rate</t>
        </is>
      </c>
      <c r="B7" s="7" t="inlineStr">
        <is>
          <t>세무자문 Blended EUR 504/h (EY Italy)</t>
        </is>
      </c>
      <c r="C7" s="7" t="inlineStr">
        <is>
          <t>할인 임률(20%): Partner 528천원/h 등</t>
        </is>
      </c>
      <c r="D7" s="7" t="inlineStr">
        <is>
          <t>할인 임률(20%): Partner 528천원/h 등</t>
        </is>
      </c>
    </row>
    <row r="8">
      <c r="A8" s="12" t="inlineStr">
        <is>
          <t>실제 지급</t>
        </is>
      </c>
      <c r="B8" s="7" t="inlineStr">
        <is>
          <t>-</t>
        </is>
      </c>
      <c r="C8" s="7" t="inlineStr">
        <is>
          <t>535백만원 (VAT 포함) = FDD 162 / TDD 191 / ITDD 56 / SPA·SHA 71 / 기타 6</t>
        </is>
      </c>
      <c r="D8" s="7" t="inlineStr">
        <is>
          <t>466,094,420원 (VAT 포함 추정) / 항목 내역 없음</t>
        </is>
      </c>
    </row>
    <row r="9">
      <c r="A9" s="12" t="inlineStr">
        <is>
          <t>지출결의서</t>
        </is>
      </c>
      <c r="B9" s="7" t="inlineStr">
        <is>
          <t>-</t>
        </is>
      </c>
      <c r="C9" s="7" t="inlineStr">
        <is>
          <t>20260616-00279 (2026-06-16)</t>
        </is>
      </c>
      <c r="D9" s="7" t="inlineStr">
        <is>
          <t>20260330-01276 (2026-03-30)</t>
        </is>
      </c>
    </row>
    <row r="10">
      <c r="A10" s="12" t="inlineStr">
        <is>
          <t>제외 사항</t>
        </is>
      </c>
      <c r="B10" s="7" t="inlineStr">
        <is>
          <t>실비, 법률·감정평가, 확인/정산실사 별도</t>
        </is>
      </c>
      <c r="C10" s="7" t="inlineStr">
        <is>
          <t>실비, VAT, Confirmatory DD·PMI·PPA 별도</t>
        </is>
      </c>
      <c r="D10" s="7" t="inlineStr">
        <is>
          <t>실비, VAT, Confirmatory DD·PMI·PPA 별도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20" customWidth="1" min="2" max="2"/>
  </cols>
  <sheetData>
    <row r="1">
      <c r="A1" s="23" t="inlineStr">
        <is>
          <t>구분</t>
        </is>
      </c>
      <c r="B1" s="23" t="inlineStr">
        <is>
          <t>내용</t>
        </is>
      </c>
    </row>
    <row r="2">
      <c r="A2" s="7" t="inlineStr">
        <is>
          <t>검증</t>
        </is>
      </c>
      <c r="B2" s="7" t="inlineStr">
        <is>
          <t>JustPlay 세부 합계 486 × 1.1 = 534.6 ≈ 결의서 535 → 세부 항목은 VAT 제외 금액</t>
        </is>
      </c>
    </row>
    <row r="3">
      <c r="A3" s="7" t="inlineStr">
        <is>
          <t>검증</t>
        </is>
      </c>
      <c r="B3" s="7" t="inlineStr">
        <is>
          <t>Lihuhu 466,094,420 ÷ 1.1 = 423,722,200 (정수로 나누어 떨어짐) → VAT 포함 금액으로 판단 (결의서에 명시 없음, 추정)</t>
        </is>
      </c>
    </row>
    <row r="4">
      <c r="A4" s="7" t="inlineStr">
        <is>
          <t>검증</t>
        </is>
      </c>
      <c r="B4" s="7" t="inlineStr">
        <is>
          <t>JustPlay FDD 실제 162 / 제안 180 = 0.90 → 정확히 10% 할인</t>
        </is>
      </c>
    </row>
    <row r="5">
      <c r="A5" s="7" t="inlineStr">
        <is>
          <t>가정</t>
        </is>
      </c>
      <c r="B5" s="7" t="inlineStr">
        <is>
          <t>환율 USD 1,450 / EUR 1,650 은 가정치. 실제 청구 환율로 '비교표' B5:B6 수정 필요</t>
        </is>
      </c>
    </row>
    <row r="6">
      <c r="A6" s="7" t="inlineStr">
        <is>
          <t>한계</t>
        </is>
      </c>
      <c r="B6" s="7" t="inlineStr">
        <is>
          <t>Lihuhu 실제 지급의 항목별 내역 없음 → 증가 원인(실비/범위 확대/Optional 수행) 판단 불가 (결의서 첨부 확인 필요)</t>
        </is>
      </c>
    </row>
    <row r="7">
      <c r="A7" s="7" t="inlineStr">
        <is>
          <t>한계</t>
        </is>
      </c>
      <c r="B7" s="7" t="inlineStr">
        <is>
          <t>JustPlay TDD 191에 인수구조 검토(EUR 20k) 포함 여부 불명확</t>
        </is>
      </c>
    </row>
    <row r="8">
      <c r="A8" s="7" t="inlineStr">
        <is>
          <t>한계</t>
        </is>
      </c>
      <c r="B8" s="7" t="inlineStr">
        <is>
          <t>EY TDD 90의 대상 법인 수 미기재 (법인당 비교는 1개 가정)</t>
        </is>
      </c>
    </row>
    <row r="9">
      <c r="A9" s="7" t="inlineStr">
        <is>
          <t>출처</t>
        </is>
      </c>
      <c r="B9" s="7" t="inlineStr">
        <is>
          <t>EY 제안서 p.4, 16, 20 / Deloitte 251125 제안서 p.27 / Deloitte 260130 제안서 p.27 / 지출결의서 20260616-00279, 20260330-01276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2026-10-06T00:22:17Z</dcterms:created>
  <dcterms:modified xsi:type="dcterms:W3CDTF">2026-10-06T00:22:17Z</dcterms:modified>
</cp:coreProperties>
</file>